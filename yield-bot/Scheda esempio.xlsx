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similiano/Bot Calcul yield/"/>
    </mc:Choice>
  </mc:AlternateContent>
  <xr:revisionPtr revIDLastSave="0" documentId="13_ncr:1_{EE28D834-51DA-2F4C-9E48-6E7414B84B63}" xr6:coauthVersionLast="47" xr6:coauthVersionMax="47" xr10:uidLastSave="{00000000-0000-0000-0000-000000000000}"/>
  <bookViews>
    <workbookView xWindow="0" yWindow="600" windowWidth="28800" windowHeight="17400" xr2:uid="{C79C1C4A-282D-4458-93F7-AA496803AA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G38" i="1"/>
  <c r="E38" i="1"/>
  <c r="H38" i="1" s="1"/>
  <c r="I38" i="1" s="1"/>
  <c r="J38" i="1" s="1"/>
  <c r="L38" i="1" s="1"/>
  <c r="C31" i="1"/>
  <c r="C33" i="1" s="1"/>
  <c r="G28" i="1"/>
  <c r="G27" i="1"/>
  <c r="J26" i="1"/>
  <c r="G24" i="1"/>
  <c r="J23" i="1"/>
  <c r="G23" i="1"/>
  <c r="C23" i="1"/>
  <c r="E26" i="1" s="1"/>
  <c r="E27" i="1" s="1"/>
  <c r="I20" i="1"/>
  <c r="C34" i="1" s="1"/>
  <c r="G20" i="1"/>
  <c r="D20" i="1"/>
  <c r="G13" i="1"/>
  <c r="G14" i="1" s="1"/>
  <c r="G15" i="1" s="1"/>
  <c r="G16" i="1" s="1"/>
  <c r="G17" i="1" s="1"/>
  <c r="G18" i="1" s="1"/>
  <c r="G19" i="1" s="1"/>
  <c r="J12" i="1"/>
  <c r="G12" i="1"/>
  <c r="J11" i="1"/>
  <c r="L11" i="1" s="1"/>
  <c r="E11" i="1"/>
  <c r="H11" i="1" s="1"/>
  <c r="B11" i="1"/>
  <c r="D6" i="1"/>
  <c r="F12" i="1" s="1"/>
  <c r="H12" i="1" s="1"/>
  <c r="J27" i="1" l="1"/>
  <c r="C35" i="1"/>
  <c r="J24" i="1"/>
  <c r="L12" i="1"/>
  <c r="C32" i="1"/>
  <c r="L20" i="1"/>
  <c r="H23" i="1"/>
  <c r="I23" i="1" s="1"/>
  <c r="F24" i="1"/>
  <c r="E28" i="1" s="1"/>
  <c r="H28" i="1" s="1"/>
  <c r="H27" i="1"/>
  <c r="J28" i="1" l="1"/>
  <c r="H24" i="1"/>
</calcChain>
</file>

<file path=xl/sharedStrings.xml><?xml version="1.0" encoding="utf-8"?>
<sst xmlns="http://schemas.openxmlformats.org/spreadsheetml/2006/main" count="54" uniqueCount="52">
  <si>
    <t>Banca:</t>
  </si>
  <si>
    <t>BNP</t>
  </si>
  <si>
    <t>Obbligazione</t>
  </si>
  <si>
    <t>Prospetto Movimento titolo:</t>
  </si>
  <si>
    <t>Nome</t>
  </si>
  <si>
    <t>Numero ISIN:</t>
  </si>
  <si>
    <t>XS-------</t>
  </si>
  <si>
    <t>Rating (S&amp;P o Fitch):</t>
  </si>
  <si>
    <t>Tasso titolo:</t>
  </si>
  <si>
    <t>o rendimento facciale (di emissione)</t>
  </si>
  <si>
    <t>Data acquisto:</t>
  </si>
  <si>
    <t>Scadenza:</t>
  </si>
  <si>
    <t>Data</t>
  </si>
  <si>
    <t>Operazione</t>
  </si>
  <si>
    <t>AQ/VND</t>
  </si>
  <si>
    <t>Quantità</t>
  </si>
  <si>
    <t>Corso Acq./Vend.</t>
  </si>
  <si>
    <t>Divisa</t>
  </si>
  <si>
    <t>Importo Teorico</t>
  </si>
  <si>
    <t>Importo Reale</t>
  </si>
  <si>
    <t>Progressivo (C/R)</t>
  </si>
  <si>
    <r>
      <t xml:space="preserve">Equivalente </t>
    </r>
    <r>
      <rPr>
        <b/>
        <sz val="12"/>
        <color theme="1"/>
        <rFont val="Calibri"/>
        <family val="2"/>
      </rPr>
      <t>€</t>
    </r>
  </si>
  <si>
    <t>Costo Medio Reale</t>
  </si>
  <si>
    <t>Acquisto</t>
  </si>
  <si>
    <t>€</t>
  </si>
  <si>
    <t>cedole (annuali)</t>
  </si>
  <si>
    <t>TOTALE</t>
  </si>
  <si>
    <t>Calcolo rendimento obbligazione:</t>
  </si>
  <si>
    <t>Valore equivalente</t>
  </si>
  <si>
    <t>Utile se venduto</t>
  </si>
  <si>
    <t>Yield all'acquisto</t>
  </si>
  <si>
    <t>Corso ad oggi</t>
  </si>
  <si>
    <t>Valore</t>
  </si>
  <si>
    <t>corso</t>
  </si>
  <si>
    <t>Rendimento al corso attuale</t>
  </si>
  <si>
    <t>rendimento all'acquisto</t>
  </si>
  <si>
    <t>Tempo alla scadenza (in anni)</t>
  </si>
  <si>
    <t>Tempo alla scadenza</t>
  </si>
  <si>
    <t>Ripartizione nel periodo (pagato/rimborso)</t>
  </si>
  <si>
    <t>Ripartizione nel periodo</t>
  </si>
  <si>
    <t>Rendimento a scadenza (yield)</t>
  </si>
  <si>
    <t>Yield a scadenza</t>
  </si>
  <si>
    <t>Chiusura:</t>
  </si>
  <si>
    <t>Progressivo chiusura</t>
  </si>
  <si>
    <t>Durata operazione</t>
  </si>
  <si>
    <t>anni</t>
  </si>
  <si>
    <t>Rendimento totale</t>
  </si>
  <si>
    <t>Rendimento annuo</t>
  </si>
  <si>
    <t>Esempio cedola: per copia ed incolla</t>
  </si>
  <si>
    <t>data</t>
  </si>
  <si>
    <t>cedole</t>
  </si>
  <si>
    <t>formula: = tasso titolo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</si>
</sst>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%"/>
    <numFmt numFmtId="166" formatCode="_-* #,##0_-;\-* #,##0_-;_-* &quot;-&quot;??_-;_-@_-"/>
    <numFmt numFmtId="167" formatCode="_-* #,##0.00\ _C_H_F_-;\-* #,##0.00\ _C_H_F_-;_-* &quot;-&quot;??\ _C_H_F_-;_-@_-"/>
    <numFmt numFmtId="168" formatCode="_-* #,##0.000_-;\-* #,##0.0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b/>
      <sz val="11"/>
      <color rgb="FF000000"/>
      <name val="Source Sans Pro"/>
      <family val="2"/>
    </font>
    <font>
      <sz val="12"/>
      <color rgb="FF000000"/>
      <name val="Aptos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0" tint="-0.499984740745262"/>
      <name val="Calibri"/>
      <family val="2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165" fontId="3" fillId="0" borderId="0" xfId="0" applyNumberFormat="1" applyFont="1"/>
    <xf numFmtId="14" fontId="3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4" fillId="4" borderId="1" xfId="0" applyFont="1" applyFill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66" fontId="3" fillId="0" borderId="1" xfId="1" applyNumberFormat="1" applyFont="1" applyBorder="1"/>
    <xf numFmtId="0" fontId="10" fillId="0" borderId="1" xfId="0" applyFont="1" applyBorder="1" applyAlignment="1">
      <alignment horizontal="center"/>
    </xf>
    <xf numFmtId="164" fontId="11" fillId="0" borderId="1" xfId="1" applyFont="1" applyBorder="1" applyAlignment="1">
      <alignment horizontal="right"/>
    </xf>
    <xf numFmtId="164" fontId="3" fillId="0" borderId="1" xfId="1" applyFont="1" applyBorder="1"/>
    <xf numFmtId="167" fontId="3" fillId="0" borderId="1" xfId="0" applyNumberFormat="1" applyFont="1" applyBorder="1" applyAlignment="1">
      <alignment horizontal="right"/>
    </xf>
    <xf numFmtId="10" fontId="3" fillId="0" borderId="1" xfId="1" applyNumberFormat="1" applyFont="1" applyBorder="1"/>
    <xf numFmtId="10" fontId="3" fillId="0" borderId="0" xfId="2" applyNumberFormat="1" applyFont="1" applyFill="1"/>
    <xf numFmtId="2" fontId="3" fillId="0" borderId="1" xfId="1" applyNumberFormat="1" applyFont="1" applyBorder="1"/>
    <xf numFmtId="165" fontId="3" fillId="0" borderId="1" xfId="1" applyNumberFormat="1" applyFont="1" applyBorder="1"/>
    <xf numFmtId="14" fontId="3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/>
    <xf numFmtId="166" fontId="4" fillId="0" borderId="4" xfId="1" applyNumberFormat="1" applyFont="1" applyBorder="1"/>
    <xf numFmtId="0" fontId="3" fillId="0" borderId="5" xfId="0" applyFont="1" applyBorder="1"/>
    <xf numFmtId="164" fontId="4" fillId="0" borderId="4" xfId="1" applyFont="1" applyBorder="1"/>
    <xf numFmtId="0" fontId="4" fillId="0" borderId="4" xfId="0" applyFont="1" applyBorder="1" applyAlignment="1">
      <alignment horizontal="center"/>
    </xf>
    <xf numFmtId="164" fontId="8" fillId="0" borderId="6" xfId="1" applyFont="1" applyBorder="1" applyAlignment="1">
      <alignment horizontal="right"/>
    </xf>
    <xf numFmtId="164" fontId="4" fillId="0" borderId="7" xfId="1" applyFont="1" applyBorder="1"/>
    <xf numFmtId="164" fontId="4" fillId="0" borderId="8" xfId="1" applyFont="1" applyBorder="1"/>
    <xf numFmtId="0" fontId="3" fillId="0" borderId="9" xfId="0" applyFont="1" applyBorder="1"/>
    <xf numFmtId="167" fontId="4" fillId="0" borderId="10" xfId="0" applyNumberFormat="1" applyFont="1" applyBorder="1" applyAlignment="1">
      <alignment horizontal="right"/>
    </xf>
    <xf numFmtId="164" fontId="3" fillId="0" borderId="0" xfId="1" applyFont="1"/>
    <xf numFmtId="0" fontId="4" fillId="0" borderId="0" xfId="0" applyFont="1" applyAlignment="1">
      <alignment horizontal="center"/>
    </xf>
    <xf numFmtId="164" fontId="4" fillId="0" borderId="0" xfId="1" applyFont="1" applyAlignment="1">
      <alignment horizontal="right"/>
    </xf>
    <xf numFmtId="0" fontId="4" fillId="5" borderId="11" xfId="0" applyFont="1" applyFill="1" applyBorder="1" applyAlignment="1">
      <alignment horizontal="right"/>
    </xf>
    <xf numFmtId="0" fontId="3" fillId="0" borderId="12" xfId="0" applyFont="1" applyBorder="1"/>
    <xf numFmtId="14" fontId="3" fillId="0" borderId="13" xfId="0" applyNumberFormat="1" applyFont="1" applyBorder="1"/>
    <xf numFmtId="14" fontId="3" fillId="0" borderId="14" xfId="0" applyNumberFormat="1" applyFont="1" applyBorder="1"/>
    <xf numFmtId="168" fontId="3" fillId="3" borderId="13" xfId="0" applyNumberFormat="1" applyFont="1" applyFill="1" applyBorder="1"/>
    <xf numFmtId="0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164" fontId="3" fillId="0" borderId="15" xfId="0" applyNumberFormat="1" applyFont="1" applyBorder="1"/>
    <xf numFmtId="0" fontId="3" fillId="0" borderId="14" xfId="0" applyFont="1" applyBorder="1"/>
    <xf numFmtId="165" fontId="3" fillId="0" borderId="13" xfId="0" applyNumberFormat="1" applyFont="1" applyBorder="1"/>
    <xf numFmtId="0" fontId="10" fillId="0" borderId="0" xfId="0" applyFont="1" applyAlignment="1">
      <alignment horizontal="left"/>
    </xf>
    <xf numFmtId="165" fontId="3" fillId="0" borderId="15" xfId="0" applyNumberFormat="1" applyFont="1" applyBorder="1"/>
    <xf numFmtId="0" fontId="3" fillId="0" borderId="16" xfId="0" applyFont="1" applyBorder="1"/>
    <xf numFmtId="2" fontId="3" fillId="0" borderId="0" xfId="0" applyNumberFormat="1" applyFont="1"/>
    <xf numFmtId="2" fontId="3" fillId="0" borderId="15" xfId="0" applyNumberFormat="1" applyFont="1" applyBorder="1"/>
    <xf numFmtId="0" fontId="3" fillId="0" borderId="17" xfId="0" applyFont="1" applyBorder="1"/>
    <xf numFmtId="0" fontId="3" fillId="0" borderId="18" xfId="0" applyFont="1" applyBorder="1"/>
    <xf numFmtId="165" fontId="3" fillId="0" borderId="19" xfId="2" applyNumberFormat="1" applyFont="1" applyFill="1" applyBorder="1"/>
    <xf numFmtId="165" fontId="3" fillId="0" borderId="20" xfId="2" applyNumberFormat="1" applyFont="1" applyFill="1" applyBorder="1"/>
    <xf numFmtId="165" fontId="3" fillId="0" borderId="8" xfId="0" applyNumberFormat="1" applyFont="1" applyBorder="1"/>
    <xf numFmtId="165" fontId="3" fillId="5" borderId="7" xfId="0" applyNumberFormat="1" applyFont="1" applyFill="1" applyBorder="1"/>
    <xf numFmtId="0" fontId="4" fillId="6" borderId="0" xfId="0" applyFont="1" applyFill="1"/>
    <xf numFmtId="0" fontId="3" fillId="6" borderId="0" xfId="0" applyFont="1" applyFill="1"/>
    <xf numFmtId="14" fontId="3" fillId="6" borderId="0" xfId="0" applyNumberFormat="1" applyFont="1" applyFill="1"/>
    <xf numFmtId="164" fontId="3" fillId="6" borderId="0" xfId="0" applyNumberFormat="1" applyFont="1" applyFill="1"/>
    <xf numFmtId="0" fontId="10" fillId="6" borderId="0" xfId="0" applyFont="1" applyFill="1" applyAlignment="1">
      <alignment horizontal="left"/>
    </xf>
    <xf numFmtId="2" fontId="3" fillId="6" borderId="0" xfId="2" applyNumberFormat="1" applyFont="1" applyFill="1"/>
    <xf numFmtId="165" fontId="3" fillId="6" borderId="0" xfId="2" applyNumberFormat="1" applyFont="1" applyFill="1"/>
    <xf numFmtId="165" fontId="4" fillId="6" borderId="0" xfId="2" applyNumberFormat="1" applyFont="1" applyFill="1"/>
    <xf numFmtId="0" fontId="12" fillId="6" borderId="0" xfId="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2" fontId="1" fillId="2" borderId="0" xfId="0" applyNumberFormat="1" applyFont="1" applyFill="1"/>
    <xf numFmtId="164" fontId="1" fillId="2" borderId="1" xfId="1" applyFont="1" applyFill="1" applyBorder="1"/>
  </cellXfs>
  <cellStyles count="3">
    <cellStyle name="Milliers" xfId="1" builtinId="3"/>
    <cellStyle name="Normal" xfId="0" builtinId="0"/>
    <cellStyle name="Pourcentage" xfId="2" builtinId="5"/>
  </cellStyles>
  <dxfs count="1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6383-6BF5-4CA8-9279-08A6AE2D2345}">
  <dimension ref="B1:M40"/>
  <sheetViews>
    <sheetView tabSelected="1" workbookViewId="0">
      <selection activeCell="F12" sqref="F12"/>
    </sheetView>
  </sheetViews>
  <sheetFormatPr baseColWidth="10" defaultRowHeight="15" x14ac:dyDescent="0.2"/>
  <cols>
    <col min="2" max="2" width="20.83203125" customWidth="1"/>
    <col min="3" max="3" width="16.5" customWidth="1"/>
    <col min="6" max="6" width="17.5" customWidth="1"/>
    <col min="8" max="8" width="17" customWidth="1"/>
    <col min="9" max="10" width="17.6640625" customWidth="1"/>
    <col min="11" max="11" width="15.5" customWidth="1"/>
    <col min="12" max="12" width="19.33203125" customWidth="1"/>
  </cols>
  <sheetData>
    <row r="1" spans="2:13" s="1" customFormat="1" ht="16" x14ac:dyDescent="0.2">
      <c r="G1" s="2"/>
      <c r="H1" s="2"/>
    </row>
    <row r="2" spans="2:13" s="1" customFormat="1" ht="16" x14ac:dyDescent="0.2">
      <c r="B2" s="3" t="s">
        <v>0</v>
      </c>
      <c r="D2" s="4" t="s">
        <v>1</v>
      </c>
      <c r="E2" s="5" t="s">
        <v>2</v>
      </c>
      <c r="G2" s="6"/>
      <c r="H2" s="74"/>
      <c r="I2" s="74"/>
      <c r="J2" s="74"/>
      <c r="K2" s="74"/>
      <c r="L2" s="74"/>
    </row>
    <row r="3" spans="2:13" s="1" customFormat="1" ht="16" x14ac:dyDescent="0.2">
      <c r="B3" s="3" t="s">
        <v>3</v>
      </c>
      <c r="E3" s="7" t="s">
        <v>4</v>
      </c>
      <c r="H3" s="74"/>
      <c r="I3" s="74"/>
      <c r="J3" s="74"/>
      <c r="K3" s="74"/>
      <c r="L3" s="74"/>
    </row>
    <row r="4" spans="2:13" s="1" customFormat="1" ht="16" x14ac:dyDescent="0.2">
      <c r="B4" s="3" t="s">
        <v>5</v>
      </c>
      <c r="E4" s="8" t="s">
        <v>6</v>
      </c>
      <c r="F4" s="2"/>
      <c r="H4" s="74"/>
      <c r="I4" s="74"/>
      <c r="J4" s="74"/>
      <c r="K4" s="74"/>
      <c r="L4" s="74"/>
    </row>
    <row r="5" spans="2:13" s="1" customFormat="1" ht="16" x14ac:dyDescent="0.2">
      <c r="B5" s="3" t="s">
        <v>7</v>
      </c>
      <c r="F5" s="2"/>
      <c r="H5" s="74"/>
      <c r="I5" s="74"/>
      <c r="J5" s="74"/>
      <c r="K5" s="74"/>
      <c r="L5" s="74"/>
    </row>
    <row r="6" spans="2:13" s="1" customFormat="1" ht="16" x14ac:dyDescent="0.2">
      <c r="B6" s="3" t="s">
        <v>8</v>
      </c>
      <c r="C6" s="75">
        <v>1.841</v>
      </c>
      <c r="D6" s="9">
        <f>C6/100</f>
        <v>1.8409999999999999E-2</v>
      </c>
      <c r="E6" s="1" t="s">
        <v>9</v>
      </c>
      <c r="H6" s="74"/>
      <c r="I6" s="74"/>
      <c r="J6" s="74"/>
      <c r="K6" s="74"/>
      <c r="L6" s="74"/>
    </row>
    <row r="7" spans="2:13" s="1" customFormat="1" ht="16" x14ac:dyDescent="0.2">
      <c r="B7" s="3" t="s">
        <v>10</v>
      </c>
      <c r="D7" s="10">
        <v>46152</v>
      </c>
      <c r="F7" s="2"/>
      <c r="H7" s="74"/>
      <c r="I7" s="74"/>
      <c r="J7" s="74"/>
      <c r="K7" s="74"/>
      <c r="L7" s="74"/>
    </row>
    <row r="8" spans="2:13" s="1" customFormat="1" ht="16" x14ac:dyDescent="0.2">
      <c r="B8" s="3" t="s">
        <v>11</v>
      </c>
      <c r="D8" s="10">
        <v>47017</v>
      </c>
      <c r="F8" s="2"/>
      <c r="H8" s="74"/>
      <c r="I8" s="74"/>
      <c r="J8" s="74"/>
      <c r="K8" s="74"/>
      <c r="L8" s="74"/>
    </row>
    <row r="9" spans="2:13" s="1" customFormat="1" ht="16" x14ac:dyDescent="0.2">
      <c r="C9" s="11"/>
      <c r="G9" s="2"/>
      <c r="H9" s="2"/>
    </row>
    <row r="10" spans="2:13" s="3" customFormat="1" ht="16" x14ac:dyDescent="0.2">
      <c r="B10" s="12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4" t="s">
        <v>17</v>
      </c>
      <c r="H10" s="15" t="s">
        <v>18</v>
      </c>
      <c r="I10" s="13" t="s">
        <v>19</v>
      </c>
      <c r="J10" s="16" t="s">
        <v>20</v>
      </c>
      <c r="K10" s="16" t="s">
        <v>21</v>
      </c>
      <c r="L10" s="14" t="s">
        <v>22</v>
      </c>
    </row>
    <row r="11" spans="2:13" s="1" customFormat="1" ht="16" x14ac:dyDescent="0.2">
      <c r="B11" s="17">
        <f>D7</f>
        <v>46152</v>
      </c>
      <c r="C11" s="18" t="s">
        <v>23</v>
      </c>
      <c r="D11" s="19">
        <v>100000</v>
      </c>
      <c r="E11" s="19">
        <f>D11</f>
        <v>100000</v>
      </c>
      <c r="F11" s="76">
        <v>95.37</v>
      </c>
      <c r="G11" s="20" t="s">
        <v>24</v>
      </c>
      <c r="H11" s="21">
        <f>-F11*E11/100</f>
        <v>-95370</v>
      </c>
      <c r="I11" s="22"/>
      <c r="J11" s="22">
        <f>I11</f>
        <v>0</v>
      </c>
      <c r="K11" s="18"/>
      <c r="L11" s="23">
        <f>-J11/E11*100</f>
        <v>0</v>
      </c>
    </row>
    <row r="12" spans="2:13" s="1" customFormat="1" ht="16" x14ac:dyDescent="0.2">
      <c r="B12" s="17"/>
      <c r="C12" s="18" t="s">
        <v>25</v>
      </c>
      <c r="D12" s="19"/>
      <c r="E12" s="19">
        <f>SUM(D11:D12)</f>
        <v>100000</v>
      </c>
      <c r="F12" s="24">
        <f>D$6</f>
        <v>1.8409999999999999E-2</v>
      </c>
      <c r="G12" s="20" t="str">
        <f t="shared" ref="G12:G19" si="0">G11</f>
        <v>€</v>
      </c>
      <c r="H12" s="21">
        <f>F12*E12-(F12*E12*H5)</f>
        <v>1841</v>
      </c>
      <c r="I12" s="22"/>
      <c r="J12" s="22">
        <f>J11+I12</f>
        <v>0</v>
      </c>
      <c r="K12" s="18"/>
      <c r="L12" s="23">
        <f>-J12/E12</f>
        <v>0</v>
      </c>
      <c r="M12" s="25"/>
    </row>
    <row r="13" spans="2:13" s="1" customFormat="1" ht="16" x14ac:dyDescent="0.2">
      <c r="B13" s="17"/>
      <c r="C13" s="18"/>
      <c r="D13" s="19"/>
      <c r="E13" s="19"/>
      <c r="F13" s="26"/>
      <c r="G13" s="20" t="str">
        <f t="shared" si="0"/>
        <v>€</v>
      </c>
      <c r="H13" s="21"/>
      <c r="I13" s="22"/>
      <c r="J13" s="22"/>
      <c r="K13" s="18"/>
      <c r="L13" s="23"/>
      <c r="M13" s="25"/>
    </row>
    <row r="14" spans="2:13" s="1" customFormat="1" ht="16" x14ac:dyDescent="0.2">
      <c r="B14" s="17"/>
      <c r="C14" s="18"/>
      <c r="D14" s="19"/>
      <c r="E14" s="19"/>
      <c r="F14" s="24"/>
      <c r="G14" s="20" t="str">
        <f t="shared" si="0"/>
        <v>€</v>
      </c>
      <c r="H14" s="21"/>
      <c r="I14" s="22"/>
      <c r="J14" s="22"/>
      <c r="K14" s="18"/>
      <c r="L14" s="23"/>
      <c r="M14" s="25"/>
    </row>
    <row r="15" spans="2:13" s="1" customFormat="1" ht="16" x14ac:dyDescent="0.2">
      <c r="B15" s="17"/>
      <c r="C15" s="18"/>
      <c r="D15" s="19"/>
      <c r="E15" s="19"/>
      <c r="F15" s="27"/>
      <c r="G15" s="20" t="str">
        <f t="shared" si="0"/>
        <v>€</v>
      </c>
      <c r="H15" s="21"/>
      <c r="I15" s="22"/>
      <c r="J15" s="22"/>
      <c r="K15" s="18"/>
      <c r="L15" s="23"/>
      <c r="M15" s="25"/>
    </row>
    <row r="16" spans="2:13" s="1" customFormat="1" ht="16" x14ac:dyDescent="0.2">
      <c r="B16" s="17"/>
      <c r="C16" s="18"/>
      <c r="D16" s="19"/>
      <c r="E16" s="19"/>
      <c r="F16" s="27"/>
      <c r="G16" s="20" t="str">
        <f t="shared" si="0"/>
        <v>€</v>
      </c>
      <c r="H16" s="21"/>
      <c r="I16" s="22"/>
      <c r="J16" s="22"/>
      <c r="K16" s="18"/>
      <c r="L16" s="23"/>
      <c r="M16" s="25"/>
    </row>
    <row r="17" spans="2:13" s="1" customFormat="1" ht="16" x14ac:dyDescent="0.2">
      <c r="B17" s="17"/>
      <c r="C17" s="18"/>
      <c r="D17" s="19"/>
      <c r="E17" s="19"/>
      <c r="F17" s="27"/>
      <c r="G17" s="20" t="str">
        <f t="shared" si="0"/>
        <v>€</v>
      </c>
      <c r="H17" s="21"/>
      <c r="I17" s="22"/>
      <c r="J17" s="22"/>
      <c r="K17" s="18"/>
      <c r="L17" s="23"/>
      <c r="M17" s="25"/>
    </row>
    <row r="18" spans="2:13" s="1" customFormat="1" ht="16" x14ac:dyDescent="0.2">
      <c r="B18" s="17"/>
      <c r="C18" s="18"/>
      <c r="D18" s="19"/>
      <c r="E18" s="19"/>
      <c r="F18" s="27"/>
      <c r="G18" s="20" t="str">
        <f t="shared" si="0"/>
        <v>€</v>
      </c>
      <c r="H18" s="21"/>
      <c r="I18" s="22"/>
      <c r="J18" s="22"/>
      <c r="K18" s="18"/>
      <c r="L18" s="23"/>
      <c r="M18" s="25"/>
    </row>
    <row r="19" spans="2:13" s="1" customFormat="1" ht="17" thickBot="1" x14ac:dyDescent="0.25">
      <c r="B19" s="28"/>
      <c r="C19" s="18"/>
      <c r="D19" s="19"/>
      <c r="E19" s="19"/>
      <c r="F19" s="27"/>
      <c r="G19" s="20" t="str">
        <f t="shared" si="0"/>
        <v>€</v>
      </c>
      <c r="H19" s="21"/>
      <c r="I19" s="22"/>
      <c r="J19" s="22"/>
      <c r="K19" s="18"/>
      <c r="L19" s="23"/>
    </row>
    <row r="20" spans="2:13" s="1" customFormat="1" ht="17" thickBot="1" x14ac:dyDescent="0.25">
      <c r="B20" s="29"/>
      <c r="C20" s="30"/>
      <c r="D20" s="31">
        <f>SUM(D11:D19)</f>
        <v>100000</v>
      </c>
      <c r="E20" s="32"/>
      <c r="F20" s="33"/>
      <c r="G20" s="34" t="str">
        <f>G11</f>
        <v>€</v>
      </c>
      <c r="H20" s="35"/>
      <c r="I20" s="36">
        <f>SUM(I11:I19)</f>
        <v>0</v>
      </c>
      <c r="J20" s="37" t="s">
        <v>26</v>
      </c>
      <c r="K20" s="38"/>
      <c r="L20" s="39">
        <f>I20/D20</f>
        <v>0</v>
      </c>
    </row>
    <row r="21" spans="2:13" s="1" customFormat="1" ht="17" thickBot="1" x14ac:dyDescent="0.25">
      <c r="G21" s="2"/>
      <c r="H21" s="2"/>
      <c r="I21" s="40"/>
      <c r="L21" s="4"/>
    </row>
    <row r="22" spans="2:13" s="3" customFormat="1" ht="16" x14ac:dyDescent="0.2">
      <c r="B22" s="3" t="s">
        <v>27</v>
      </c>
      <c r="G22" s="41"/>
      <c r="H22" s="41" t="s">
        <v>28</v>
      </c>
      <c r="I22" s="42" t="s">
        <v>29</v>
      </c>
      <c r="J22" s="43" t="s">
        <v>30</v>
      </c>
      <c r="L22" s="4"/>
    </row>
    <row r="23" spans="2:13" s="1" customFormat="1" ht="16" x14ac:dyDescent="0.2">
      <c r="B23" s="44" t="s">
        <v>31</v>
      </c>
      <c r="C23" s="45">
        <f ca="1">TODAY()</f>
        <v>46152</v>
      </c>
      <c r="D23" s="46"/>
      <c r="E23" s="18" t="s">
        <v>32</v>
      </c>
      <c r="F23" s="47">
        <v>94.8</v>
      </c>
      <c r="G23" s="48" t="str">
        <f>G11</f>
        <v>€</v>
      </c>
      <c r="H23" s="40">
        <f>D20*F23/100</f>
        <v>94800</v>
      </c>
      <c r="I23" s="49">
        <f>H23+I20</f>
        <v>94800</v>
      </c>
      <c r="J23" s="50">
        <f>F11</f>
        <v>95.37</v>
      </c>
      <c r="K23" s="1" t="s">
        <v>33</v>
      </c>
    </row>
    <row r="24" spans="2:13" s="1" customFormat="1" ht="16" x14ac:dyDescent="0.2">
      <c r="B24" s="44" t="s">
        <v>34</v>
      </c>
      <c r="C24" s="51"/>
      <c r="D24" s="51"/>
      <c r="E24" s="51"/>
      <c r="F24" s="52">
        <f>D6/(F23/100)</f>
        <v>1.941983122362869E-2</v>
      </c>
      <c r="G24" s="48" t="str">
        <f>G11</f>
        <v>€</v>
      </c>
      <c r="H24" s="40">
        <f>D20*F24</f>
        <v>1941.9831223628692</v>
      </c>
      <c r="I24" s="53"/>
      <c r="J24" s="54">
        <f>D6/(J23/100)</f>
        <v>1.9303764286463247E-2</v>
      </c>
      <c r="K24" s="1" t="s">
        <v>35</v>
      </c>
    </row>
    <row r="25" spans="2:13" s="1" customFormat="1" ht="16" x14ac:dyDescent="0.2">
      <c r="G25" s="2"/>
      <c r="H25" s="40"/>
      <c r="J25" s="55"/>
      <c r="L25" s="4"/>
    </row>
    <row r="26" spans="2:13" s="1" customFormat="1" ht="16" x14ac:dyDescent="0.2">
      <c r="B26" s="1" t="s">
        <v>36</v>
      </c>
      <c r="E26" s="56">
        <f ca="1">(DAYS360(D8,C23))/360</f>
        <v>-2.3638888888888889</v>
      </c>
      <c r="F26" s="56"/>
      <c r="G26" s="2"/>
      <c r="H26" s="40"/>
      <c r="J26" s="57">
        <f>(DAYS360(D8,D7))/360</f>
        <v>-2.3638888888888889</v>
      </c>
      <c r="K26" s="1" t="s">
        <v>37</v>
      </c>
    </row>
    <row r="27" spans="2:13" s="1" customFormat="1" ht="17" thickBot="1" x14ac:dyDescent="0.25">
      <c r="B27" s="58" t="s">
        <v>38</v>
      </c>
      <c r="C27" s="59"/>
      <c r="D27" s="59"/>
      <c r="E27" s="60">
        <f ca="1">(100-F23)/E26/100</f>
        <v>-2.1997649823736795E-2</v>
      </c>
      <c r="G27" s="48" t="str">
        <f>G11</f>
        <v>€</v>
      </c>
      <c r="H27" s="40">
        <f ca="1">D20*E27</f>
        <v>-2199.7649823736797</v>
      </c>
      <c r="I27" s="53"/>
      <c r="J27" s="61">
        <f>(100-J23)/J26/100</f>
        <v>-1.9586368977673307E-2</v>
      </c>
      <c r="K27" s="1" t="s">
        <v>39</v>
      </c>
    </row>
    <row r="28" spans="2:13" s="1" customFormat="1" ht="17" thickBot="1" x14ac:dyDescent="0.25">
      <c r="B28" s="38" t="s">
        <v>40</v>
      </c>
      <c r="C28" s="32"/>
      <c r="D28" s="32"/>
      <c r="E28" s="62">
        <f ca="1">F24-E27</f>
        <v>4.1417481047365486E-2</v>
      </c>
      <c r="G28" s="48" t="str">
        <f>G11</f>
        <v>€</v>
      </c>
      <c r="H28" s="40">
        <f ca="1">(E28*D20)*(-E26)</f>
        <v>9790.63232536334</v>
      </c>
      <c r="I28" s="53"/>
      <c r="J28" s="63">
        <f>J24-J27</f>
        <v>3.8890133264136553E-2</v>
      </c>
      <c r="K28" s="1" t="s">
        <v>41</v>
      </c>
      <c r="L28" s="4"/>
    </row>
    <row r="29" spans="2:13" s="1" customFormat="1" ht="16" x14ac:dyDescent="0.2">
      <c r="G29" s="2"/>
      <c r="H29" s="2"/>
      <c r="I29" s="40"/>
      <c r="L29" s="4"/>
    </row>
    <row r="30" spans="2:13" s="3" customFormat="1" ht="16" x14ac:dyDescent="0.2">
      <c r="B30" s="64" t="s">
        <v>42</v>
      </c>
      <c r="C30" s="64"/>
      <c r="D30" s="64"/>
      <c r="G30" s="41"/>
      <c r="H30" s="41"/>
      <c r="L30" s="1"/>
    </row>
    <row r="31" spans="2:13" s="1" customFormat="1" ht="16" x14ac:dyDescent="0.2">
      <c r="B31" s="65" t="s">
        <v>12</v>
      </c>
      <c r="C31" s="66">
        <f>D8</f>
        <v>47017</v>
      </c>
      <c r="D31" s="65"/>
      <c r="G31" s="2"/>
      <c r="H31" s="2"/>
    </row>
    <row r="32" spans="2:13" s="1" customFormat="1" ht="16" x14ac:dyDescent="0.2">
      <c r="B32" s="65" t="s">
        <v>43</v>
      </c>
      <c r="C32" s="67">
        <f>I20</f>
        <v>0</v>
      </c>
      <c r="D32" s="68" t="s">
        <v>24</v>
      </c>
      <c r="G32" s="2"/>
      <c r="H32" s="2"/>
    </row>
    <row r="33" spans="2:13" s="1" customFormat="1" ht="16" x14ac:dyDescent="0.2">
      <c r="B33" s="65" t="s">
        <v>44</v>
      </c>
      <c r="C33" s="69">
        <f>(DAYS360(D7,C31))/360</f>
        <v>2.3638888888888889</v>
      </c>
      <c r="D33" s="65" t="s">
        <v>45</v>
      </c>
      <c r="G33" s="2"/>
      <c r="H33" s="2"/>
    </row>
    <row r="34" spans="2:13" s="1" customFormat="1" ht="16" x14ac:dyDescent="0.2">
      <c r="B34" s="65" t="s">
        <v>46</v>
      </c>
      <c r="C34" s="70" t="e">
        <f>I20/-J11</f>
        <v>#DIV/0!</v>
      </c>
      <c r="D34" s="65"/>
      <c r="G34" s="2"/>
      <c r="H34" s="2"/>
    </row>
    <row r="35" spans="2:13" s="1" customFormat="1" ht="16" x14ac:dyDescent="0.2">
      <c r="B35" s="64" t="s">
        <v>47</v>
      </c>
      <c r="C35" s="71" t="e">
        <f>C34/C33</f>
        <v>#DIV/0!</v>
      </c>
      <c r="D35" s="65"/>
      <c r="G35" s="2"/>
      <c r="H35" s="2"/>
    </row>
    <row r="36" spans="2:13" s="1" customFormat="1" ht="16" x14ac:dyDescent="0.2">
      <c r="G36" s="2"/>
      <c r="H36" s="2"/>
    </row>
    <row r="37" spans="2:13" ht="16" x14ac:dyDescent="0.2">
      <c r="B37" s="72" t="s">
        <v>48</v>
      </c>
      <c r="G37" s="73"/>
      <c r="H37" s="73"/>
    </row>
    <row r="38" spans="2:13" s="1" customFormat="1" ht="16" x14ac:dyDescent="0.2">
      <c r="B38" s="17" t="s">
        <v>49</v>
      </c>
      <c r="C38" s="18" t="s">
        <v>50</v>
      </c>
      <c r="D38" s="19"/>
      <c r="E38" s="19">
        <f>SUM(D36:D38)</f>
        <v>0</v>
      </c>
      <c r="F38" s="24" t="s">
        <v>51</v>
      </c>
      <c r="G38" s="20">
        <f>G37</f>
        <v>0</v>
      </c>
      <c r="H38" s="21" t="e">
        <f>F38*E38</f>
        <v>#VALUE!</v>
      </c>
      <c r="I38" s="22" t="e">
        <f>H38</f>
        <v>#VALUE!</v>
      </c>
      <c r="J38" s="22" t="e">
        <f>J37+I38</f>
        <v>#VALUE!</v>
      </c>
      <c r="K38" s="18"/>
      <c r="L38" s="23" t="e">
        <f>-J38/E38</f>
        <v>#VALUE!</v>
      </c>
      <c r="M38" s="25"/>
    </row>
    <row r="39" spans="2:13" x14ac:dyDescent="0.2">
      <c r="G39" s="73"/>
      <c r="H39" s="73"/>
    </row>
    <row r="40" spans="2:13" x14ac:dyDescent="0.2">
      <c r="G40" s="73"/>
      <c r="H40" s="73"/>
    </row>
  </sheetData>
  <mergeCells count="1">
    <mergeCell ref="H2:L8"/>
  </mergeCells>
  <conditionalFormatting sqref="D11:D20">
    <cfRule type="cellIs" dxfId="12" priority="1" operator="lessThan">
      <formula>0</formula>
    </cfRule>
    <cfRule type="cellIs" dxfId="11" priority="2" operator="greaterThan">
      <formula>0</formula>
    </cfRule>
  </conditionalFormatting>
  <conditionalFormatting sqref="D38">
    <cfRule type="cellIs" dxfId="10" priority="5" operator="lessThan">
      <formula>0</formula>
    </cfRule>
    <cfRule type="cellIs" dxfId="9" priority="6" operator="greaterThan">
      <formula>0</formula>
    </cfRule>
  </conditionalFormatting>
  <conditionalFormatting sqref="I20">
    <cfRule type="cellIs" dxfId="8" priority="9" operator="lessThan">
      <formula>0</formula>
    </cfRule>
    <cfRule type="cellIs" dxfId="7" priority="10" operator="greaterThan">
      <formula>0</formula>
    </cfRule>
  </conditionalFormatting>
  <conditionalFormatting sqref="I11:J19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I38:J38">
    <cfRule type="cellIs" dxfId="4" priority="7" operator="lessThan">
      <formula>0</formula>
    </cfRule>
    <cfRule type="cellIs" dxfId="3" priority="8" operator="greaterThan">
      <formula>0</formula>
    </cfRule>
  </conditionalFormatting>
  <conditionalFormatting sqref="J11">
    <cfRule type="cellIs" dxfId="2" priority="11" operator="lessThan">
      <formula>0</formula>
    </cfRule>
    <cfRule type="cellIs" dxfId="1" priority="12" operator="greater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Tombolini</dc:creator>
  <cp:lastModifiedBy>TOMBOLINI Massimiliano (STD)</cp:lastModifiedBy>
  <dcterms:created xsi:type="dcterms:W3CDTF">2026-01-20T22:24:59Z</dcterms:created>
  <dcterms:modified xsi:type="dcterms:W3CDTF">2026-05-10T15:50:57Z</dcterms:modified>
</cp:coreProperties>
</file>